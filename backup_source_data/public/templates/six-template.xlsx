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9"/>
    </font>
    <font>
      <name val="Times New Roman"/>
      <family val="1"/>
      <b val="1"/>
      <color rgb="FF000000"/>
      <sz val="9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1" fillId="0" borderId="7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textRotation="90"/>
    </xf>
    <xf numFmtId="0" fontId="1" fillId="0" borderId="5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2" fillId="0" borderId="0" pivotButton="0" quotePrefix="0" xfId="0"/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1" fillId="0" borderId="2" applyAlignment="1" pivotButton="0" quotePrefix="0" xfId="0">
      <alignment horizontal="center" textRotation="90"/>
    </xf>
    <xf numFmtId="0" fontId="1" fillId="0" borderId="3" applyAlignment="1" pivotButton="0" quotePrefix="0" xfId="0">
      <alignment horizontal="center" textRotation="90"/>
    </xf>
    <xf numFmtId="0" fontId="1" fillId="0" borderId="4" applyAlignment="1" pivotButton="0" quotePrefix="0" xfId="0">
      <alignment horizontal="center" textRotation="90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textRotation="90"/>
    </xf>
    <xf numFmtId="0" fontId="1" fillId="0" borderId="3" applyAlignment="1" pivotButton="0" quotePrefix="0" xfId="0">
      <alignment horizontal="center" vertical="center" textRotation="90"/>
    </xf>
    <xf numFmtId="0" fontId="1" fillId="0" borderId="4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center" textRotation="90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tabSelected="1" topLeftCell="A7" workbookViewId="0">
      <selection activeCell="AK19" sqref="AK19"/>
    </sheetView>
  </sheetViews>
  <sheetFormatPr baseColWidth="8" defaultRowHeight="12.75"/>
  <cols>
    <col width="3.85546875" customWidth="1" style="1" min="1" max="1"/>
    <col width="25.85546875" customWidth="1" style="1" min="2" max="2"/>
    <col width="3.42578125" customWidth="1" style="1" min="3" max="3"/>
    <col width="3.7109375" customWidth="1" style="1" min="4" max="4"/>
    <col width="3.85546875" customWidth="1" style="1" min="5" max="5"/>
    <col width="3.7109375" customWidth="1" style="1" min="6" max="6"/>
    <col width="3.85546875" customWidth="1" style="1" min="7" max="7"/>
    <col width="4.42578125" customWidth="1" style="1" min="8" max="8"/>
    <col width="4" customWidth="1" style="1" min="9" max="9"/>
    <col width="3.85546875" customWidth="1" style="1" min="10" max="10"/>
    <col width="4" customWidth="1" style="1" min="11" max="11"/>
    <col width="4.140625" customWidth="1" style="1" min="12" max="12"/>
    <col width="3.28515625" customWidth="1" style="1" min="13" max="13"/>
    <col width="3" customWidth="1" style="1" min="14" max="14"/>
    <col width="3.85546875" customWidth="1" style="1" min="15" max="16"/>
    <col width="3.42578125" customWidth="1" style="1" min="17" max="18"/>
    <col width="3.7109375" customWidth="1" style="1" min="19" max="20"/>
    <col width="3.5703125" customWidth="1" style="1" min="21" max="21"/>
    <col width="3.7109375" customWidth="1" style="1" min="22" max="22"/>
    <col width="4.28515625" customWidth="1" style="1" min="23" max="23"/>
    <col width="3.85546875" customWidth="1" style="1" min="24" max="24"/>
    <col width="3.42578125" customWidth="1" style="1" min="25" max="25"/>
    <col width="2.85546875" customWidth="1" style="1" min="26" max="26"/>
    <col width="3.5703125" customWidth="1" style="1" min="27" max="27"/>
    <col width="4.140625" customWidth="1" style="1" min="28" max="28"/>
    <col width="3.7109375" customWidth="1" style="1" min="29" max="30"/>
    <col width="3.85546875" customWidth="1" style="1" min="31" max="31"/>
    <col width="3.5703125" customWidth="1" style="1" min="32" max="32"/>
    <col width="2.85546875" customWidth="1" style="1" min="33" max="33"/>
    <col width="4.140625" customWidth="1" style="1" min="34" max="34"/>
    <col width="4.5703125" customWidth="1" style="1" min="35" max="35"/>
    <col width="4.85546875" customWidth="1" style="1" min="36" max="36"/>
    <col width="3" customWidth="1" style="1" min="37" max="37"/>
    <col width="2.85546875" customWidth="1" style="1" min="38" max="38"/>
    <col width="4.42578125" customWidth="1" style="1" min="39" max="39"/>
    <col width="4.140625" customWidth="1" style="1" min="40" max="40"/>
    <col width="9.140625" customWidth="1" style="1" min="41" max="16384"/>
  </cols>
  <sheetData>
    <row r="1">
      <c r="N1" s="1">
        <f>-P6</f>
        <v/>
      </c>
    </row>
    <row r="2">
      <c r="A2" s="15" t="inlineStr">
        <is>
          <t>BANGURI HIGH SCHOOL</t>
        </is>
      </c>
    </row>
    <row r="3">
      <c r="A3" s="15" t="inlineStr">
        <is>
          <t>HALF YEARLY EXAM RESULT -2026</t>
        </is>
      </c>
    </row>
    <row r="4">
      <c r="A4" s="15" t="inlineStr">
        <is>
          <t>CLASS-SIX</t>
        </is>
      </c>
    </row>
    <row r="5">
      <c r="A5" s="15" t="inlineStr">
        <is>
          <t>TABULATION SHEET</t>
        </is>
      </c>
    </row>
    <row r="7">
      <c r="A7" s="25" t="inlineStr">
        <is>
          <t>ROLL NO</t>
        </is>
      </c>
      <c r="B7" s="26" t="inlineStr">
        <is>
          <t>STUDENT'S NAME</t>
        </is>
      </c>
      <c r="C7" s="27" t="inlineStr">
        <is>
          <t>BANGLA</t>
        </is>
      </c>
      <c r="D7" s="28" t="n"/>
      <c r="E7" s="28" t="n"/>
      <c r="F7" s="28" t="n"/>
      <c r="G7" s="28" t="n"/>
      <c r="H7" s="29" t="n"/>
      <c r="I7" s="27" t="inlineStr">
        <is>
          <t>ENGLISH</t>
        </is>
      </c>
      <c r="J7" s="28" t="n"/>
      <c r="K7" s="28" t="n"/>
      <c r="L7" s="29" t="n"/>
      <c r="M7" s="27" t="inlineStr">
        <is>
          <t>MATH</t>
        </is>
      </c>
      <c r="N7" s="28" t="n"/>
      <c r="O7" s="28" t="n"/>
      <c r="P7" s="29" t="n"/>
      <c r="Q7" s="27" t="inlineStr">
        <is>
          <t>SCIENCE</t>
        </is>
      </c>
      <c r="R7" s="28" t="n"/>
      <c r="S7" s="28" t="n"/>
      <c r="T7" s="29" t="n"/>
      <c r="U7" s="27" t="inlineStr">
        <is>
          <t>BGS</t>
        </is>
      </c>
      <c r="V7" s="28" t="n"/>
      <c r="W7" s="28" t="n"/>
      <c r="X7" s="29" t="n"/>
      <c r="Y7" s="27" t="inlineStr">
        <is>
          <t>ICT</t>
        </is>
      </c>
      <c r="Z7" s="28" t="n"/>
      <c r="AA7" s="28" t="n"/>
      <c r="AB7" s="29" t="n"/>
      <c r="AC7" s="27" t="inlineStr">
        <is>
          <t>RELIGION</t>
        </is>
      </c>
      <c r="AD7" s="28" t="n"/>
      <c r="AE7" s="28" t="n"/>
      <c r="AF7" s="29" t="n"/>
      <c r="AG7" s="27" t="inlineStr">
        <is>
          <t>AGRI</t>
        </is>
      </c>
      <c r="AH7" s="29" t="n"/>
      <c r="AI7" s="30" t="inlineStr">
        <is>
          <t>TOTAL MARKS</t>
        </is>
      </c>
      <c r="AJ7" s="30" t="inlineStr">
        <is>
          <t>GPA</t>
        </is>
      </c>
      <c r="AK7" s="30" t="inlineStr">
        <is>
          <t>MERIT</t>
        </is>
      </c>
      <c r="AL7" s="30" t="inlineStr">
        <is>
          <t>TOTAL WORKING DAYS</t>
        </is>
      </c>
      <c r="AM7" s="30" t="inlineStr">
        <is>
          <t>ABSENT</t>
        </is>
      </c>
      <c r="AN7" s="30" t="inlineStr">
        <is>
          <t>FAIL IN SUBJCT</t>
        </is>
      </c>
    </row>
    <row r="8">
      <c r="A8" s="31" t="n"/>
      <c r="B8" s="31" t="n"/>
      <c r="C8" s="27" t="inlineStr">
        <is>
          <t xml:space="preserve">1ST </t>
        </is>
      </c>
      <c r="D8" s="28" t="n"/>
      <c r="E8" s="29" t="n"/>
      <c r="F8" s="24" t="inlineStr">
        <is>
          <t>2ND</t>
        </is>
      </c>
      <c r="G8" s="3" t="n">
        <v>150</v>
      </c>
      <c r="H8" s="30" t="inlineStr">
        <is>
          <t>GP</t>
        </is>
      </c>
      <c r="I8" s="3" t="inlineStr">
        <is>
          <t>1ST</t>
        </is>
      </c>
      <c r="J8" s="3" t="inlineStr">
        <is>
          <t>2ND</t>
        </is>
      </c>
      <c r="K8" s="3" t="n">
        <v>150</v>
      </c>
      <c r="L8" s="30" t="inlineStr">
        <is>
          <t>GP</t>
        </is>
      </c>
      <c r="M8" s="3" t="n">
        <v>70</v>
      </c>
      <c r="N8" s="3" t="n">
        <v>30</v>
      </c>
      <c r="O8" s="3" t="n">
        <v>100</v>
      </c>
      <c r="P8" s="30" t="inlineStr">
        <is>
          <t>GP</t>
        </is>
      </c>
      <c r="Q8" s="3" t="n">
        <v>70</v>
      </c>
      <c r="R8" s="3" t="n">
        <v>30</v>
      </c>
      <c r="S8" s="3" t="n">
        <v>100</v>
      </c>
      <c r="T8" s="30" t="inlineStr">
        <is>
          <t>GP</t>
        </is>
      </c>
      <c r="U8" s="3" t="n">
        <v>70</v>
      </c>
      <c r="V8" s="3" t="n">
        <v>30</v>
      </c>
      <c r="W8" s="3" t="n">
        <v>100</v>
      </c>
      <c r="X8" s="30" t="inlineStr">
        <is>
          <t>GP</t>
        </is>
      </c>
      <c r="Y8" s="3" t="n">
        <v>25</v>
      </c>
      <c r="Z8" s="3" t="n">
        <v>25</v>
      </c>
      <c r="AA8" s="3" t="n">
        <v>50</v>
      </c>
      <c r="AB8" s="30" t="inlineStr">
        <is>
          <t>GP</t>
        </is>
      </c>
      <c r="AC8" s="3" t="n">
        <v>70</v>
      </c>
      <c r="AD8" s="3" t="n">
        <v>30</v>
      </c>
      <c r="AE8" s="3" t="n">
        <v>100</v>
      </c>
      <c r="AF8" s="30" t="inlineStr">
        <is>
          <t>GP</t>
        </is>
      </c>
      <c r="AG8" s="3" t="n">
        <v>50</v>
      </c>
      <c r="AH8" s="30" t="inlineStr">
        <is>
          <t>GP</t>
        </is>
      </c>
      <c r="AI8" s="31" t="n"/>
      <c r="AJ8" s="31" t="n"/>
      <c r="AK8" s="31" t="n"/>
      <c r="AL8" s="31" t="n"/>
      <c r="AM8" s="31" t="n"/>
      <c r="AN8" s="31" t="n"/>
    </row>
    <row r="9">
      <c r="A9" s="31" t="n"/>
      <c r="B9" s="31" t="n"/>
      <c r="C9" s="3" t="n">
        <v>70</v>
      </c>
      <c r="D9" s="3" t="n">
        <v>30</v>
      </c>
      <c r="E9" s="3" t="n">
        <v>100</v>
      </c>
      <c r="F9" s="3" t="n">
        <v>50</v>
      </c>
      <c r="G9" s="30" t="inlineStr">
        <is>
          <t>TOTAL MARKS</t>
        </is>
      </c>
      <c r="H9" s="31" t="n"/>
      <c r="I9" s="3" t="n">
        <v>100</v>
      </c>
      <c r="J9" s="3" t="n">
        <v>50</v>
      </c>
      <c r="K9" s="30" t="inlineStr">
        <is>
          <t>TOTAL MARKS</t>
        </is>
      </c>
      <c r="L9" s="31" t="n"/>
      <c r="M9" s="30" t="inlineStr">
        <is>
          <t>CQ</t>
        </is>
      </c>
      <c r="N9" s="30" t="inlineStr">
        <is>
          <t>MCQ</t>
        </is>
      </c>
      <c r="O9" s="30" t="inlineStr">
        <is>
          <t>TOTAL MARKS</t>
        </is>
      </c>
      <c r="P9" s="31" t="n"/>
      <c r="Q9" s="30" t="inlineStr">
        <is>
          <t>CQ</t>
        </is>
      </c>
      <c r="R9" s="30" t="inlineStr">
        <is>
          <t>MCQ</t>
        </is>
      </c>
      <c r="S9" s="30" t="inlineStr">
        <is>
          <t>TOTAL MARKS</t>
        </is>
      </c>
      <c r="T9" s="31" t="n"/>
      <c r="U9" s="30" t="inlineStr">
        <is>
          <t>CQ</t>
        </is>
      </c>
      <c r="V9" s="30" t="inlineStr">
        <is>
          <t>MCQ</t>
        </is>
      </c>
      <c r="W9" s="30" t="inlineStr">
        <is>
          <t>TOTAL MARKS</t>
        </is>
      </c>
      <c r="X9" s="31" t="n"/>
      <c r="Y9" s="30" t="inlineStr">
        <is>
          <t>MCQ</t>
        </is>
      </c>
      <c r="Z9" s="30" t="inlineStr">
        <is>
          <t>PRACTICAL</t>
        </is>
      </c>
      <c r="AA9" s="30" t="inlineStr">
        <is>
          <t>TOTAL MARKS</t>
        </is>
      </c>
      <c r="AB9" s="31" t="n"/>
      <c r="AC9" s="30" t="inlineStr">
        <is>
          <t>CQ</t>
        </is>
      </c>
      <c r="AD9" s="30" t="inlineStr">
        <is>
          <t>MCQ</t>
        </is>
      </c>
      <c r="AE9" s="30" t="inlineStr">
        <is>
          <t>TOTAL MARKS</t>
        </is>
      </c>
      <c r="AF9" s="31" t="n"/>
      <c r="AG9" s="30" t="inlineStr">
        <is>
          <t>TOTAL MARKS</t>
        </is>
      </c>
      <c r="AH9" s="31" t="n"/>
      <c r="AI9" s="31" t="n"/>
      <c r="AJ9" s="31" t="n"/>
      <c r="AK9" s="31" t="n"/>
      <c r="AL9" s="31" t="n"/>
      <c r="AM9" s="31" t="n"/>
      <c r="AN9" s="31" t="n"/>
    </row>
    <row r="10" ht="90" customHeight="1">
      <c r="A10" s="32" t="n"/>
      <c r="B10" s="32" t="n"/>
      <c r="C10" s="4" t="inlineStr">
        <is>
          <t>CQ</t>
        </is>
      </c>
      <c r="D10" s="4" t="inlineStr">
        <is>
          <t>MCQ</t>
        </is>
      </c>
      <c r="E10" s="4" t="inlineStr">
        <is>
          <t>TOTAL</t>
        </is>
      </c>
      <c r="F10" s="4" t="inlineStr">
        <is>
          <t>TOTAL</t>
        </is>
      </c>
      <c r="G10" s="32" t="n"/>
      <c r="H10" s="32" t="n"/>
      <c r="I10" s="4" t="inlineStr">
        <is>
          <t>ESSAY TYPE</t>
        </is>
      </c>
      <c r="J10" s="4" t="inlineStr">
        <is>
          <t>ESSAY TYPE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</row>
    <row r="11">
      <c r="A11" s="3" t="n"/>
      <c r="B11" s="6" t="n"/>
      <c r="C11" s="3" t="n"/>
      <c r="D11" s="3" t="n"/>
      <c r="E11" s="3">
        <f>SUM(C11:D11)</f>
        <v/>
      </c>
      <c r="F11" s="3" t="n"/>
      <c r="G11" s="3">
        <f>SUM(E11:F11)</f>
        <v/>
      </c>
      <c r="H11" s="3">
        <f>IF(G11&gt;=120,5,IF(G11&gt;=105,4,IF(G11&gt;=90,3.5,IF(G11&gt;=75,3,IF(G11&gt;=60,2,IF(G11&gt;=50,1,0))))))</f>
        <v/>
      </c>
      <c r="I11" s="3" t="n"/>
      <c r="J11" s="3" t="n"/>
      <c r="K11" s="3">
        <f>SUM(I11:J11)</f>
        <v/>
      </c>
      <c r="L11" s="3">
        <f>IF(K11&gt;=120,5,IF(K11&gt;=105,4,IF(K11&gt;=90,3.5,IF(K11&gt;=75,3,IF(K11&gt;=60,2,IF(K11&gt;=50,1,0))))))</f>
        <v/>
      </c>
      <c r="M11" s="3" t="n"/>
      <c r="N11" s="3" t="n"/>
      <c r="O11" s="3">
        <f>SUM(M11:N11)</f>
        <v/>
      </c>
      <c r="P11" s="3">
        <f>IF(O11&gt;=80,5,IF(O11&gt;=70,4,IF(O11&gt;=60,3.5,IF(O11&gt;=50,3,IF(O11&gt;=40,2,IF(O11&gt;=33,1,0))))))</f>
        <v/>
      </c>
      <c r="Q11" s="5" t="n"/>
      <c r="R11" s="3" t="n"/>
      <c r="S11" s="3">
        <f>SUM(Q11:R11)</f>
        <v/>
      </c>
      <c r="T11" s="3">
        <f>IF(S11&gt;=80,5,IF(S11&gt;=70,4,IF(S11&gt;=60,3.5,IF(S11&gt;=50,3,IF(S11&gt;=40,2,IF(S11&gt;=33,1,0))))))</f>
        <v/>
      </c>
      <c r="U11" s="3" t="n"/>
      <c r="V11" s="3" t="n"/>
      <c r="W11" s="3">
        <f>SUM(U11:V11)</f>
        <v/>
      </c>
      <c r="X11" s="3">
        <f>IF(W11&gt;=80,5,IF(W11&gt;=70,4,IF(W11&gt;=60,3.5,IF(W11&gt;=50,3,IF(W11&gt;=40,2,IF(W11&gt;=33,1,0))))))</f>
        <v/>
      </c>
      <c r="Y11" s="3" t="n"/>
      <c r="Z11" s="3" t="n"/>
      <c r="AA11" s="3">
        <f>SUM(Y11:Z11)</f>
        <v/>
      </c>
      <c r="AB11" s="3">
        <f>IF(AA11&gt;=40,5,IF(AA11&gt;=35,4,IF(AA11&gt;=30,3.5,IF(AA11&gt;=25,3,IF(AA11&gt;=20,2,IF(AA11&gt;=17,1,0))))))</f>
        <v/>
      </c>
      <c r="AC11" s="3" t="n"/>
      <c r="AD11" s="3" t="n"/>
      <c r="AE11" s="3">
        <f>SUM(AC11:AD11)</f>
        <v/>
      </c>
      <c r="AF11" s="3">
        <f>IF(AE11&gt;=80,5,IF(AE11&gt;=70,4,IF(AE11&gt;=60,3.5,IF(AE11&gt;=50,3,IF(AE11&gt;=40,2,IF(AE11&gt;=33,1,0))))))</f>
        <v/>
      </c>
      <c r="AG11" s="3" t="n"/>
      <c r="AH11" s="3">
        <f>IF(AG11&gt;=40,5,IF(AG11&gt;=35,4,IF(AG11&gt;=30,3.5,IF(AG11&gt;=25,3,IF(AG11&gt;=20,2,IF(AG11&gt;=17,1,0))))))</f>
        <v/>
      </c>
      <c r="AI11" s="3">
        <f>SUM(G11+K11+O11+S11+W11+AA11+AE11+AG11)</f>
        <v/>
      </c>
      <c r="AJ11" s="3">
        <f>(H11+L11+P11+T11+X11+AB11+AF11+AH11)/8</f>
        <v/>
      </c>
      <c r="AK11" s="3">
        <f>1+COUNTIFS($AJ$11:$AJ$92,"&gt;"&amp;AJ11)+COUNTIFS($AJ$11:$AJ$92,AJ11,$AI$11:$AI$92,"&gt;"&amp;AI11)</f>
        <v/>
      </c>
      <c r="AL11" s="3" t="n"/>
      <c r="AM11" s="3" t="n"/>
      <c r="AN11" s="3">
        <f>COUNTIF(H11,0)+COUNTIF(L11,0)+COUNTIF(P11,0)+COUNTIF(T11,0)+COUNTIF(X11,0)+COUNTIF(AB11,0)+COUNTIF(AF11,0)+COUNTIF(AH11,0)</f>
        <v/>
      </c>
    </row>
    <row r="12">
      <c r="A12" s="3" t="n"/>
      <c r="B12" s="7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5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</row>
    <row r="13">
      <c r="A13" s="3" t="n"/>
      <c r="B13" s="10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5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</row>
    <row r="14">
      <c r="A14" s="3" t="n"/>
      <c r="B14" s="8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5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</row>
    <row r="15">
      <c r="A15" s="3" t="n"/>
      <c r="B15" s="7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5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</row>
    <row r="16">
      <c r="A16" s="3" t="n"/>
      <c r="B16" s="7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5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</row>
    <row r="17">
      <c r="A17" s="3" t="n"/>
      <c r="B17" s="7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5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</row>
    <row r="18">
      <c r="A18" s="3" t="n"/>
      <c r="B18" s="7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5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</row>
    <row r="19">
      <c r="A19" s="3" t="n"/>
      <c r="B19" s="7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5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</row>
    <row r="20">
      <c r="A20" s="3" t="n"/>
      <c r="B20" s="6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5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</row>
    <row r="21">
      <c r="A21" s="3" t="n"/>
      <c r="B21" s="7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5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</row>
    <row r="22">
      <c r="A22" s="3" t="n"/>
      <c r="B22" s="10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5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</row>
    <row r="23">
      <c r="A23" s="3" t="n"/>
      <c r="B23" s="10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5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</row>
    <row r="24">
      <c r="A24" s="3" t="n"/>
      <c r="B24" s="6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5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</row>
    <row r="25">
      <c r="A25" s="3" t="n"/>
      <c r="B25" s="7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5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</row>
    <row r="26">
      <c r="A26" s="3" t="n"/>
      <c r="B26" s="10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5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</row>
    <row r="27">
      <c r="A27" s="3" t="n"/>
      <c r="B27" s="7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5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</row>
    <row r="28">
      <c r="A28" s="3" t="n"/>
      <c r="B28" s="7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5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</row>
    <row r="29">
      <c r="A29" s="3" t="n"/>
      <c r="B29" s="10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5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</row>
    <row r="30">
      <c r="A30" s="3" t="n"/>
      <c r="B30" s="10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5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</row>
    <row r="31">
      <c r="A31" s="3" t="n"/>
      <c r="B31" s="10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5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</row>
    <row r="32">
      <c r="A32" s="3" t="n"/>
      <c r="B32" s="7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5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</row>
    <row r="33">
      <c r="A33" s="3" t="n"/>
      <c r="B33" s="10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5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</row>
    <row r="34">
      <c r="A34" s="3" t="n"/>
      <c r="B34" s="7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5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</row>
    <row r="35">
      <c r="A35" s="3" t="n"/>
      <c r="B35" s="10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5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</row>
    <row r="36">
      <c r="A36" s="3" t="n"/>
      <c r="B36" s="10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5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</row>
    <row r="37">
      <c r="A37" s="3" t="n"/>
      <c r="B37" s="10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5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</row>
    <row r="38">
      <c r="A38" s="3" t="n"/>
      <c r="B38" s="10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5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</row>
    <row r="39">
      <c r="A39" s="3" t="n"/>
      <c r="B39" s="7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5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</row>
    <row r="40">
      <c r="A40" s="3" t="n"/>
      <c r="B40" s="10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5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</row>
    <row r="41">
      <c r="A41" s="3" t="n"/>
      <c r="B41" s="7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5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</row>
    <row r="42">
      <c r="A42" s="3" t="n"/>
      <c r="B42" s="7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5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</row>
    <row r="43">
      <c r="A43" s="3" t="n"/>
      <c r="B43" s="10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5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</row>
    <row r="44">
      <c r="A44" s="3" t="n"/>
      <c r="B44" s="10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5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</row>
    <row r="45">
      <c r="A45" s="3" t="n"/>
      <c r="B45" s="7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5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</row>
    <row r="46">
      <c r="A46" s="3" t="n"/>
      <c r="B46" s="7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5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</row>
    <row r="47">
      <c r="A47" s="3" t="n"/>
      <c r="B47" s="7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5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</row>
    <row r="48">
      <c r="A48" s="3" t="n"/>
      <c r="B48" s="7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5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</row>
    <row r="49">
      <c r="A49" s="3" t="n"/>
      <c r="B49" s="7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5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</row>
    <row r="50">
      <c r="A50" s="3" t="n"/>
      <c r="B50" s="7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5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</row>
    <row r="51">
      <c r="A51" s="3" t="n"/>
      <c r="B51" s="6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5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</row>
    <row r="52">
      <c r="A52" s="3" t="n"/>
      <c r="B52" s="7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5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</row>
    <row r="53">
      <c r="A53" s="3" t="n"/>
      <c r="B53" s="7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5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</row>
    <row r="54">
      <c r="A54" s="3" t="n"/>
      <c r="B54" s="10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5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</row>
    <row r="55">
      <c r="A55" s="3" t="n"/>
      <c r="B55" s="7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5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</row>
    <row r="56">
      <c r="A56" s="3" t="n"/>
      <c r="B56" s="7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5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</row>
    <row r="57">
      <c r="A57" s="3" t="n"/>
      <c r="B57" s="8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5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</row>
    <row r="58">
      <c r="A58" s="11" t="n"/>
      <c r="B58" s="8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5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</row>
    <row r="59">
      <c r="A59" s="3" t="n"/>
      <c r="B59" s="7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5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</row>
    <row r="60">
      <c r="A60" s="3" t="n"/>
      <c r="B60" s="7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5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</row>
    <row r="61">
      <c r="A61" s="3" t="n"/>
      <c r="B61" s="10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5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</row>
    <row r="62">
      <c r="A62" s="3" t="n"/>
      <c r="B62" s="7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5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</row>
    <row r="63">
      <c r="A63" s="3" t="n"/>
      <c r="B63" s="7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5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</row>
    <row r="64">
      <c r="A64" s="3" t="n"/>
      <c r="B64" s="7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5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</row>
    <row r="65">
      <c r="A65" s="11" t="n"/>
      <c r="B65" s="7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5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</row>
    <row r="66">
      <c r="A66" s="3" t="n"/>
      <c r="B66" s="6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5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</row>
    <row r="67">
      <c r="A67" s="3" t="n"/>
      <c r="B67" s="7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5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</row>
    <row r="68">
      <c r="A68" s="3" t="n"/>
      <c r="B68" s="7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5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</row>
    <row r="69">
      <c r="A69" s="3" t="n"/>
      <c r="B69" s="10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5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</row>
    <row r="70">
      <c r="A70" s="3" t="n"/>
      <c r="B70" s="6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5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</row>
    <row r="71">
      <c r="A71" s="3" t="n"/>
      <c r="B71" s="7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5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</row>
    <row r="72">
      <c r="A72" s="3" t="n"/>
      <c r="B72" s="7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5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</row>
    <row r="73">
      <c r="A73" s="3" t="n"/>
      <c r="B73" s="7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5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</row>
    <row r="74">
      <c r="A74" s="3" t="n"/>
      <c r="B74" s="7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5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</row>
    <row r="75">
      <c r="A75" s="3" t="n"/>
      <c r="B75" s="6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5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</row>
    <row r="76">
      <c r="A76" s="11" t="n"/>
      <c r="B76" s="7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5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</row>
    <row r="77">
      <c r="A77" s="11" t="n"/>
      <c r="B77" s="7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5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</row>
    <row r="78">
      <c r="A78" s="3" t="n"/>
      <c r="B78" s="7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5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</row>
    <row r="79">
      <c r="A79" s="3" t="n"/>
      <c r="B79" s="7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5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</row>
    <row r="80">
      <c r="A80" s="3" t="n"/>
      <c r="B80" s="6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5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</row>
    <row r="81">
      <c r="A81" s="3" t="n"/>
      <c r="B81" s="7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5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</row>
    <row r="82">
      <c r="A82" s="3" t="n"/>
      <c r="B82" s="7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5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</row>
    <row r="83">
      <c r="A83" s="3" t="n"/>
      <c r="B83" s="7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5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</row>
    <row r="84">
      <c r="A84" s="3" t="n"/>
      <c r="B84" s="6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5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</row>
    <row r="85">
      <c r="A85" s="3" t="n"/>
      <c r="B85" s="7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5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</row>
    <row r="86">
      <c r="A86" s="3" t="n"/>
      <c r="B86" s="7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5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</row>
    <row r="87">
      <c r="A87" s="3" t="n"/>
      <c r="B87" s="6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5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</row>
    <row r="88">
      <c r="A88" s="11" t="n"/>
      <c r="B88" s="7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5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</row>
    <row r="89">
      <c r="A89" s="3" t="n"/>
      <c r="B89" s="6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5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</row>
    <row r="90">
      <c r="A90" s="3" t="n"/>
      <c r="B90" s="7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5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</row>
    <row r="91">
      <c r="A91" s="3" t="n"/>
      <c r="B91" s="6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</row>
    <row r="92">
      <c r="A92" s="3" t="n"/>
      <c r="B92" s="7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</row>
    <row r="93">
      <c r="B93" s="9" t="n"/>
    </row>
  </sheetData>
  <mergeCells count="47">
    <mergeCell ref="A3:AN3"/>
    <mergeCell ref="Y9:Y10"/>
    <mergeCell ref="AA9:AA10"/>
    <mergeCell ref="AG9:AG10"/>
    <mergeCell ref="A2:AN2"/>
    <mergeCell ref="A5:AN5"/>
    <mergeCell ref="AJ7:AJ10"/>
    <mergeCell ref="AF8:AF10"/>
    <mergeCell ref="V9:V10"/>
    <mergeCell ref="A4:AN4"/>
    <mergeCell ref="A7:A10"/>
    <mergeCell ref="Q9:Q10"/>
    <mergeCell ref="Q7:T7"/>
    <mergeCell ref="S9:S10"/>
    <mergeCell ref="AC7:AF7"/>
    <mergeCell ref="C8:E8"/>
    <mergeCell ref="X8:X10"/>
    <mergeCell ref="AL7:AL10"/>
    <mergeCell ref="AI7:AI10"/>
    <mergeCell ref="H8:H10"/>
    <mergeCell ref="C7:H7"/>
    <mergeCell ref="W9:W10"/>
    <mergeCell ref="AC9:AC10"/>
    <mergeCell ref="AG7:AH7"/>
    <mergeCell ref="AH8:AH10"/>
    <mergeCell ref="AE9:AE10"/>
    <mergeCell ref="N9:N10"/>
    <mergeCell ref="I7:L7"/>
    <mergeCell ref="AM7:AM10"/>
    <mergeCell ref="AN7:AN10"/>
    <mergeCell ref="R9:R10"/>
    <mergeCell ref="G9:G10"/>
    <mergeCell ref="Z9:Z10"/>
    <mergeCell ref="K9:K10"/>
    <mergeCell ref="AD9:AD10"/>
    <mergeCell ref="L8:L10"/>
    <mergeCell ref="M9:M10"/>
    <mergeCell ref="O9:O10"/>
    <mergeCell ref="M7:P7"/>
    <mergeCell ref="U9:U10"/>
    <mergeCell ref="U7:X7"/>
    <mergeCell ref="P8:P10"/>
    <mergeCell ref="AB8:AB10"/>
    <mergeCell ref="Y7:AB7"/>
    <mergeCell ref="B7:B10"/>
    <mergeCell ref="T8:T10"/>
    <mergeCell ref="AK7:AK10"/>
  </mergeCells>
  <pageMargins left="0.2" right="0.2" top="0.25" bottom="0.25" header="0.3" footer="0.3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MD.DULAL HOSSAIN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2026-10-23T13:28:09Z</dcterms:modified>
  <cp:lastModifiedBy>DCL</cp:lastModifiedBy>
  <cp:lastPrinted>2026-07-25T05:05:39Z</cp:lastPrinted>
</cp:coreProperties>
</file>